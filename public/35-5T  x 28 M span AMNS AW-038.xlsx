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3A9B2B6-713D-44A7-A405-317065F1569A}" xr6:coauthVersionLast="47" xr6:coauthVersionMax="47" xr10:uidLastSave="{00000000-0000-0000-0000-000000000000}"/>
  <bookViews>
    <workbookView xWindow="-120" yWindow="-120" windowWidth="20730" windowHeight="11040"/>
  </bookViews>
  <sheets>
    <sheet name="NSK-2401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C36" i="1"/>
  <c r="E38" i="1"/>
  <c r="C24" i="1"/>
  <c r="E39" i="1"/>
  <c r="F24" i="1"/>
  <c r="E40" i="1"/>
  <c r="C34" i="1"/>
  <c r="E41" i="1"/>
  <c r="F34" i="1"/>
  <c r="E42" i="1"/>
  <c r="C42" i="1"/>
  <c r="E44" i="1"/>
  <c r="E51" i="1"/>
</calcChain>
</file>

<file path=xl/sharedStrings.xml><?xml version="1.0" encoding="utf-8"?>
<sst xmlns="http://schemas.openxmlformats.org/spreadsheetml/2006/main" count="143" uniqueCount="104">
  <si>
    <t>COSTING</t>
  </si>
  <si>
    <t>CLIENT</t>
  </si>
  <si>
    <t>DATE</t>
  </si>
  <si>
    <t>REF</t>
  </si>
  <si>
    <t>CAP</t>
  </si>
  <si>
    <t>SPAN</t>
  </si>
  <si>
    <t>LIFT</t>
  </si>
  <si>
    <t>TYPE</t>
  </si>
  <si>
    <t>QTY</t>
  </si>
  <si>
    <t>CLASS</t>
  </si>
  <si>
    <t>AMB TEMP</t>
  </si>
  <si>
    <t>IS</t>
  </si>
  <si>
    <t>ACCN (CM/  SEC SQ.)</t>
  </si>
  <si>
    <t>SPEED</t>
  </si>
  <si>
    <t>CONTROL</t>
  </si>
  <si>
    <t>LOCATION</t>
  </si>
  <si>
    <t>CRAB WEIGHT</t>
  </si>
  <si>
    <t>CT W.L</t>
  </si>
  <si>
    <t>CT RAIL SIZE</t>
  </si>
  <si>
    <t>CRANE WEIGHT</t>
  </si>
  <si>
    <t>LT W.L</t>
  </si>
  <si>
    <t>LT RAIL SIZE</t>
  </si>
  <si>
    <t>CT CONDUCTOR</t>
  </si>
  <si>
    <t>LT CONDUCTOR</t>
  </si>
  <si>
    <t>MH</t>
  </si>
  <si>
    <t>DETAILS</t>
  </si>
  <si>
    <t>RATE</t>
  </si>
  <si>
    <t>AH</t>
  </si>
  <si>
    <t>MOTOR</t>
  </si>
  <si>
    <t>BRAKES</t>
  </si>
  <si>
    <t>I/P COUPLING</t>
  </si>
  <si>
    <t>GEARBOX</t>
  </si>
  <si>
    <t>LIMIT SWITCH(1+1)</t>
  </si>
  <si>
    <t>LIMIT SWITCH</t>
  </si>
  <si>
    <t>ROPE DRUM</t>
  </si>
  <si>
    <t>WIREROPE</t>
  </si>
  <si>
    <t>SNATCH BLOCK</t>
  </si>
  <si>
    <t>TOP PULLEYS</t>
  </si>
  <si>
    <t>EQ. PULLEYS</t>
  </si>
  <si>
    <t>MISC/CABLE TRAY</t>
  </si>
  <si>
    <t>MISC</t>
  </si>
  <si>
    <t>MICRO</t>
  </si>
  <si>
    <t>TOTAL</t>
  </si>
  <si>
    <t>CT</t>
  </si>
  <si>
    <t>LT</t>
  </si>
  <si>
    <t>WHEELS</t>
  </si>
  <si>
    <t>FLT SHFT,O/P COUPL</t>
  </si>
  <si>
    <t>STRUCTURAL</t>
  </si>
  <si>
    <t>SUMMARY</t>
  </si>
  <si>
    <t>VVVFSALES PRICE</t>
  </si>
  <si>
    <t xml:space="preserve">PRICES QUOTED </t>
  </si>
  <si>
    <t>CRANE</t>
  </si>
  <si>
    <t>ERECT OF CRANE</t>
  </si>
  <si>
    <t>DSL</t>
  </si>
  <si>
    <t>ERECT OF DSL</t>
  </si>
  <si>
    <t>RAIL</t>
  </si>
  <si>
    <t>ERECT OF RAIL</t>
  </si>
  <si>
    <t>INDOOR</t>
  </si>
  <si>
    <t xml:space="preserve">BRAKES- </t>
  </si>
  <si>
    <t>Total</t>
  </si>
  <si>
    <t>Electricals</t>
  </si>
  <si>
    <t>PAINTING</t>
  </si>
  <si>
    <t>LUBRICATION</t>
  </si>
  <si>
    <t>BUFFERS</t>
  </si>
  <si>
    <t>GRAND TOTAL</t>
  </si>
  <si>
    <r>
      <t xml:space="preserve">VVVF                 </t>
    </r>
    <r>
      <rPr>
        <sz val="10"/>
        <rFont val="Arial"/>
        <family val="2"/>
      </rPr>
      <t>MH</t>
    </r>
  </si>
  <si>
    <t>50 DEG</t>
  </si>
  <si>
    <t xml:space="preserve">MOTOR </t>
  </si>
  <si>
    <t>1 NO</t>
  </si>
  <si>
    <t>EHT160/18</t>
  </si>
  <si>
    <t xml:space="preserve">400 mm x 1no </t>
  </si>
  <si>
    <t>AMNS</t>
  </si>
  <si>
    <t>AW-038</t>
  </si>
  <si>
    <t>14.04.2025</t>
  </si>
  <si>
    <t>35/5T</t>
  </si>
  <si>
    <t>28M</t>
  </si>
  <si>
    <t>MH-9.5+6.5/AH-10+6 M</t>
  </si>
  <si>
    <t>TROLLEY</t>
  </si>
  <si>
    <t>MH-4/4137/ AH/CT/LT-M5</t>
  </si>
  <si>
    <t>IS:4137 /IS3177-1999</t>
  </si>
  <si>
    <t>12/12/30M/MIN</t>
  </si>
  <si>
    <t>OPEN CABIN</t>
  </si>
  <si>
    <t>13T</t>
  </si>
  <si>
    <t>12T</t>
  </si>
  <si>
    <t>UIC-60</t>
  </si>
  <si>
    <t>VD315L/104.3 KW</t>
  </si>
  <si>
    <t xml:space="preserve"> DCEM400 x 2 </t>
  </si>
  <si>
    <t>HR-1000</t>
  </si>
  <si>
    <t>650mm x2200 mm</t>
  </si>
  <si>
    <t>22mm x 163m , Steel</t>
  </si>
  <si>
    <t>35 T / 8 F /640mm</t>
  </si>
  <si>
    <t xml:space="preserve">640 mm x 2no </t>
  </si>
  <si>
    <t>KS180L2/13.5KW</t>
  </si>
  <si>
    <t xml:space="preserve"> DCEM250</t>
  </si>
  <si>
    <t>HR350</t>
  </si>
  <si>
    <t>235mm x1500 mm</t>
  </si>
  <si>
    <t>12mm x 80m , Steel</t>
  </si>
  <si>
    <t xml:space="preserve">160mm x 1no </t>
  </si>
  <si>
    <t>KS160M2/6.7KW</t>
  </si>
  <si>
    <t>VR-400</t>
  </si>
  <si>
    <t>320 mm x 4 nos</t>
  </si>
  <si>
    <t>5 T / 4 F /250mm</t>
  </si>
  <si>
    <t>Margin @1.6</t>
  </si>
  <si>
    <t>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</si>
</sst>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00"/>
  </numFmts>
  <fonts count="2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sz val="10"/>
      <color rgb="FFFFFF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1">
    <xf numFmtId="0" fontId="0" fillId="0" borderId="0" xfId="0"/>
    <xf numFmtId="0" fontId="14" fillId="0" borderId="10" xfId="0" applyFont="1" applyBorder="1" applyAlignment="1">
      <alignment vertical="top"/>
    </xf>
    <xf numFmtId="0" fontId="20" fillId="0" borderId="10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0" xfId="0" applyFont="1" applyAlignment="1">
      <alignment vertical="top"/>
    </xf>
    <xf numFmtId="0" fontId="20" fillId="0" borderId="11" xfId="0" applyFont="1" applyBorder="1" applyAlignment="1">
      <alignment vertical="top"/>
    </xf>
    <xf numFmtId="0" fontId="14" fillId="0" borderId="12" xfId="0" applyFont="1" applyBorder="1" applyAlignment="1">
      <alignment vertical="top"/>
    </xf>
    <xf numFmtId="0" fontId="14" fillId="0" borderId="13" xfId="0" applyFont="1" applyBorder="1" applyAlignment="1">
      <alignment vertical="top"/>
    </xf>
    <xf numFmtId="49" fontId="20" fillId="0" borderId="10" xfId="0" applyNumberFormat="1" applyFont="1" applyBorder="1" applyAlignment="1">
      <alignment vertical="top"/>
    </xf>
    <xf numFmtId="2" fontId="14" fillId="0" borderId="10" xfId="0" applyNumberFormat="1" applyFont="1" applyBorder="1" applyAlignment="1">
      <alignment vertical="top"/>
    </xf>
    <xf numFmtId="2" fontId="20" fillId="0" borderId="10" xfId="0" applyNumberFormat="1" applyFont="1" applyBorder="1" applyAlignment="1">
      <alignment vertical="top"/>
    </xf>
    <xf numFmtId="0" fontId="14" fillId="0" borderId="10" xfId="0" applyFont="1" applyBorder="1" applyAlignment="1">
      <alignment vertical="top" wrapText="1"/>
    </xf>
    <xf numFmtId="0" fontId="14" fillId="0" borderId="10" xfId="0" applyFont="1" applyBorder="1" applyAlignment="1">
      <alignment horizontal="right" vertical="top"/>
    </xf>
    <xf numFmtId="0" fontId="20" fillId="0" borderId="14" xfId="0" applyFont="1" applyFill="1" applyBorder="1" applyAlignment="1">
      <alignment horizontal="right" vertical="top"/>
    </xf>
    <xf numFmtId="0" fontId="20" fillId="0" borderId="10" xfId="0" applyFont="1" applyFill="1" applyBorder="1" applyAlignment="1">
      <alignment horizontal="left" vertical="top"/>
    </xf>
    <xf numFmtId="0" fontId="14" fillId="0" borderId="10" xfId="0" applyFont="1" applyFill="1" applyBorder="1" applyAlignment="1">
      <alignment vertical="top"/>
    </xf>
    <xf numFmtId="0" fontId="25" fillId="0" borderId="0" xfId="0" applyFont="1" applyBorder="1" applyAlignment="1">
      <alignment vertical="top"/>
    </xf>
    <xf numFmtId="174" fontId="14" fillId="0" borderId="0" xfId="0" applyNumberFormat="1" applyFont="1" applyBorder="1" applyAlignment="1">
      <alignment vertical="top"/>
    </xf>
    <xf numFmtId="2" fontId="14" fillId="0" borderId="0" xfId="0" applyNumberFormat="1" applyFont="1" applyBorder="1" applyAlignment="1">
      <alignment vertical="top"/>
    </xf>
    <xf numFmtId="2" fontId="20" fillId="0" borderId="0" xfId="0" applyNumberFormat="1" applyFont="1" applyBorder="1" applyAlignment="1">
      <alignment vertical="top"/>
    </xf>
    <xf numFmtId="2" fontId="14" fillId="24" borderId="0" xfId="0" applyNumberFormat="1" applyFont="1" applyFill="1" applyBorder="1" applyAlignment="1">
      <alignment vertical="top"/>
    </xf>
    <xf numFmtId="0" fontId="14" fillId="24" borderId="0" xfId="0" applyFont="1" applyFill="1" applyBorder="1" applyAlignment="1">
      <alignment vertical="top"/>
    </xf>
    <xf numFmtId="9" fontId="21" fillId="0" borderId="0" xfId="0" applyNumberFormat="1" applyFont="1" applyBorder="1" applyAlignment="1">
      <alignment vertical="top"/>
    </xf>
    <xf numFmtId="2" fontId="22" fillId="0" borderId="0" xfId="0" applyNumberFormat="1" applyFont="1" applyBorder="1" applyAlignment="1">
      <alignment vertical="top"/>
    </xf>
    <xf numFmtId="2" fontId="14" fillId="24" borderId="10" xfId="0" applyNumberFormat="1" applyFont="1" applyFill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top" wrapText="1"/>
    </xf>
    <xf numFmtId="0" fontId="23" fillId="0" borderId="10" xfId="0" applyFont="1" applyBorder="1" applyAlignment="1">
      <alignment vertical="top"/>
    </xf>
    <xf numFmtId="0" fontId="14" fillId="24" borderId="10" xfId="0" applyFont="1" applyFill="1" applyBorder="1" applyAlignment="1">
      <alignment vertical="top"/>
    </xf>
    <xf numFmtId="2" fontId="26" fillId="24" borderId="0" xfId="0" applyNumberFormat="1" applyFont="1" applyFill="1" applyBorder="1" applyAlignment="1">
      <alignment vertical="top"/>
    </xf>
    <xf numFmtId="2" fontId="20" fillId="24" borderId="0" xfId="0" applyNumberFormat="1" applyFont="1" applyFill="1" applyBorder="1" applyAlignment="1">
      <alignment vertical="top"/>
    </xf>
    <xf numFmtId="2" fontId="20" fillId="24" borderId="10" xfId="0" applyNumberFormat="1" applyFont="1" applyFill="1" applyBorder="1" applyAlignment="1">
      <alignment vertical="top"/>
    </xf>
    <xf numFmtId="2" fontId="14" fillId="24" borderId="0" xfId="0" applyNumberFormat="1" applyFont="1" applyFill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 applyAlignment="1">
      <alignment horizontal="left" vertical="top"/>
    </xf>
    <xf numFmtId="0" fontId="20" fillId="0" borderId="11" xfId="0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2" fontId="14" fillId="24" borderId="15" xfId="0" applyNumberFormat="1" applyFont="1" applyFill="1" applyBorder="1" applyAlignment="1">
      <alignment horizontal="right" vertical="top"/>
    </xf>
    <xf numFmtId="2" fontId="14" fillId="24" borderId="14" xfId="0" applyNumberFormat="1" applyFont="1" applyFill="1" applyBorder="1" applyAlignment="1">
      <alignment horizontal="right" vertical="top"/>
    </xf>
    <xf numFmtId="2" fontId="14" fillId="24" borderId="16" xfId="0" applyNumberFormat="1" applyFont="1" applyFill="1" applyBorder="1" applyAlignment="1">
      <alignment horizontal="right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H77"/>
  <sheetViews>
    <sheetView tabSelected="1" zoomScaleNormal="100" workbookViewId="0">
      <selection activeCell="I14" sqref="I14"/>
    </sheetView>
  </sheetViews>
  <sheetFormatPr defaultRowHeight="12.75" x14ac:dyDescent="0.2"/>
  <cols>
    <col min="1" max="1" width="18.5703125" style="4" customWidth="1"/>
    <col min="2" max="2" width="25.5703125" style="4" customWidth="1"/>
    <col min="3" max="3" width="8.7109375" style="4" customWidth="1"/>
    <col min="4" max="4" width="21" style="4" customWidth="1"/>
    <col min="5" max="5" width="24" style="4" customWidth="1"/>
    <col min="6" max="6" width="17.42578125" style="4" customWidth="1"/>
    <col min="7" max="7" width="10.7109375" style="4" customWidth="1"/>
    <col min="8" max="16384" width="9.140625" style="4"/>
  </cols>
  <sheetData>
    <row r="1" spans="1:8" x14ac:dyDescent="0.2">
      <c r="A1" s="1"/>
      <c r="B1" s="1"/>
      <c r="C1" s="2" t="s">
        <v>0</v>
      </c>
      <c r="D1" s="1"/>
      <c r="E1" s="1"/>
      <c r="F1" s="1"/>
      <c r="G1" s="3"/>
      <c r="H1" s="3"/>
    </row>
    <row r="2" spans="1:8" x14ac:dyDescent="0.2">
      <c r="A2" s="1" t="s">
        <v>1</v>
      </c>
      <c r="B2" s="5" t="s">
        <v>71</v>
      </c>
      <c r="C2" s="6"/>
      <c r="D2" s="7"/>
      <c r="E2" s="1" t="s">
        <v>2</v>
      </c>
      <c r="F2" s="2" t="s">
        <v>73</v>
      </c>
      <c r="G2" s="3"/>
      <c r="H2" s="3"/>
    </row>
    <row r="3" spans="1:8" x14ac:dyDescent="0.2">
      <c r="A3" s="1" t="s">
        <v>3</v>
      </c>
      <c r="B3" s="2" t="s">
        <v>72</v>
      </c>
      <c r="C3" s="1"/>
      <c r="D3" s="2"/>
      <c r="E3" s="1"/>
      <c r="F3" s="2"/>
      <c r="G3" s="3"/>
      <c r="H3" s="3"/>
    </row>
    <row r="4" spans="1:8" x14ac:dyDescent="0.2">
      <c r="A4" s="1" t="s">
        <v>4</v>
      </c>
      <c r="B4" s="2" t="s">
        <v>74</v>
      </c>
      <c r="C4" s="1" t="s">
        <v>5</v>
      </c>
      <c r="D4" s="2" t="s">
        <v>75</v>
      </c>
      <c r="E4" s="1" t="s">
        <v>6</v>
      </c>
      <c r="F4" s="33" t="s">
        <v>76</v>
      </c>
      <c r="G4" s="3"/>
      <c r="H4" s="3"/>
    </row>
    <row r="5" spans="1:8" x14ac:dyDescent="0.2">
      <c r="A5" s="1" t="s">
        <v>7</v>
      </c>
      <c r="B5" s="2" t="s">
        <v>77</v>
      </c>
      <c r="C5" s="1" t="s">
        <v>8</v>
      </c>
      <c r="D5" s="2" t="s">
        <v>68</v>
      </c>
      <c r="E5" s="1" t="s">
        <v>9</v>
      </c>
      <c r="F5" s="34" t="s">
        <v>78</v>
      </c>
      <c r="G5" s="3"/>
      <c r="H5" s="3"/>
    </row>
    <row r="6" spans="1:8" x14ac:dyDescent="0.2">
      <c r="A6" s="1" t="s">
        <v>10</v>
      </c>
      <c r="B6" s="2" t="s">
        <v>66</v>
      </c>
      <c r="C6" s="4" t="s">
        <v>11</v>
      </c>
      <c r="D6" s="2" t="s">
        <v>79</v>
      </c>
      <c r="E6" s="1" t="s">
        <v>12</v>
      </c>
      <c r="F6" s="8"/>
      <c r="G6" s="3"/>
      <c r="H6" s="3"/>
    </row>
    <row r="7" spans="1:8" x14ac:dyDescent="0.2">
      <c r="A7" s="1" t="s">
        <v>13</v>
      </c>
      <c r="B7" s="2" t="s">
        <v>80</v>
      </c>
      <c r="C7" s="1" t="s">
        <v>14</v>
      </c>
      <c r="D7" s="27" t="s">
        <v>81</v>
      </c>
      <c r="E7" s="1" t="s">
        <v>15</v>
      </c>
      <c r="F7" s="2" t="s">
        <v>57</v>
      </c>
      <c r="G7" s="3"/>
      <c r="H7" s="3"/>
    </row>
    <row r="8" spans="1:8" x14ac:dyDescent="0.2">
      <c r="A8" s="1" t="s">
        <v>16</v>
      </c>
      <c r="B8" s="2" t="s">
        <v>82</v>
      </c>
      <c r="C8" s="1" t="s">
        <v>17</v>
      </c>
      <c r="D8" s="2" t="s">
        <v>83</v>
      </c>
      <c r="E8" s="1" t="s">
        <v>18</v>
      </c>
      <c r="F8" s="2" t="s">
        <v>84</v>
      </c>
      <c r="G8" s="3"/>
      <c r="H8" s="3"/>
    </row>
    <row r="9" spans="1:8" x14ac:dyDescent="0.2">
      <c r="A9" s="1" t="s">
        <v>19</v>
      </c>
      <c r="B9" s="2"/>
      <c r="C9" s="1" t="s">
        <v>20</v>
      </c>
      <c r="D9" s="2"/>
      <c r="E9" s="1" t="s">
        <v>21</v>
      </c>
      <c r="F9" s="2"/>
      <c r="G9" s="3"/>
      <c r="H9" s="3"/>
    </row>
    <row r="10" spans="1:8" x14ac:dyDescent="0.2">
      <c r="A10" s="1" t="s">
        <v>22</v>
      </c>
      <c r="B10" s="35"/>
      <c r="C10" s="36"/>
      <c r="D10" s="1" t="s">
        <v>23</v>
      </c>
      <c r="E10" s="37"/>
      <c r="F10" s="37"/>
      <c r="G10" s="3"/>
      <c r="H10" s="3"/>
    </row>
    <row r="11" spans="1:8" x14ac:dyDescent="0.2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25</v>
      </c>
      <c r="F11" s="2" t="s">
        <v>26</v>
      </c>
      <c r="G11" s="3"/>
      <c r="H11" s="3"/>
    </row>
    <row r="12" spans="1:8" x14ac:dyDescent="0.2">
      <c r="A12" s="2" t="s">
        <v>67</v>
      </c>
      <c r="B12" s="1" t="s">
        <v>85</v>
      </c>
      <c r="C12" s="9">
        <v>6</v>
      </c>
      <c r="D12" s="1" t="s">
        <v>28</v>
      </c>
      <c r="E12" s="1" t="s">
        <v>92</v>
      </c>
      <c r="F12" s="9">
        <v>2</v>
      </c>
      <c r="G12" s="3"/>
      <c r="H12" s="3"/>
    </row>
    <row r="13" spans="1:8" x14ac:dyDescent="0.2">
      <c r="A13" s="1" t="s">
        <v>29</v>
      </c>
      <c r="B13" s="1" t="s">
        <v>86</v>
      </c>
      <c r="C13" s="24">
        <v>6.5</v>
      </c>
      <c r="D13" s="1" t="s">
        <v>29</v>
      </c>
      <c r="E13" s="1" t="s">
        <v>93</v>
      </c>
      <c r="F13" s="28">
        <v>1.8</v>
      </c>
      <c r="G13" s="3"/>
      <c r="H13" s="3"/>
    </row>
    <row r="14" spans="1:8" x14ac:dyDescent="0.2">
      <c r="A14" s="1" t="s">
        <v>30</v>
      </c>
      <c r="B14" s="2"/>
      <c r="C14" s="9">
        <v>0.3</v>
      </c>
      <c r="D14" s="1" t="s">
        <v>30</v>
      </c>
      <c r="E14" s="2"/>
      <c r="F14" s="9">
        <v>0.08</v>
      </c>
      <c r="G14" s="3"/>
      <c r="H14" s="3"/>
    </row>
    <row r="15" spans="1:8" x14ac:dyDescent="0.2">
      <c r="A15" s="1" t="s">
        <v>31</v>
      </c>
      <c r="B15" s="1" t="s">
        <v>87</v>
      </c>
      <c r="C15" s="9">
        <v>8.3000000000000007</v>
      </c>
      <c r="D15" s="1" t="s">
        <v>31</v>
      </c>
      <c r="E15" s="1" t="s">
        <v>94</v>
      </c>
      <c r="F15" s="9">
        <v>1.2</v>
      </c>
      <c r="G15" s="3"/>
      <c r="H15" s="3"/>
    </row>
    <row r="16" spans="1:8" x14ac:dyDescent="0.2">
      <c r="A16" s="1" t="s">
        <v>32</v>
      </c>
      <c r="B16" s="1"/>
      <c r="C16" s="1">
        <v>0.08</v>
      </c>
      <c r="D16" s="1" t="s">
        <v>33</v>
      </c>
      <c r="E16" s="1"/>
      <c r="F16" s="1">
        <v>0.08</v>
      </c>
      <c r="G16" s="3"/>
      <c r="H16" s="3"/>
    </row>
    <row r="17" spans="1:8" ht="15.75" customHeight="1" x14ac:dyDescent="0.2">
      <c r="A17" s="1" t="s">
        <v>34</v>
      </c>
      <c r="B17" s="1" t="s">
        <v>88</v>
      </c>
      <c r="C17" s="9">
        <v>1.9</v>
      </c>
      <c r="D17" s="1" t="s">
        <v>34</v>
      </c>
      <c r="E17" s="1" t="s">
        <v>95</v>
      </c>
      <c r="F17" s="9">
        <v>0.38</v>
      </c>
      <c r="G17" s="3"/>
      <c r="H17" s="3"/>
    </row>
    <row r="18" spans="1:8" x14ac:dyDescent="0.2">
      <c r="A18" s="1" t="s">
        <v>35</v>
      </c>
      <c r="B18" s="1" t="s">
        <v>89</v>
      </c>
      <c r="C18" s="9">
        <v>0.79</v>
      </c>
      <c r="D18" s="1" t="s">
        <v>35</v>
      </c>
      <c r="E18" s="1" t="s">
        <v>96</v>
      </c>
      <c r="F18" s="9">
        <v>0.15</v>
      </c>
      <c r="G18" s="3"/>
      <c r="H18" s="3"/>
    </row>
    <row r="19" spans="1:8" x14ac:dyDescent="0.2">
      <c r="A19" s="1" t="s">
        <v>36</v>
      </c>
      <c r="B19" s="1" t="s">
        <v>90</v>
      </c>
      <c r="C19" s="9">
        <v>3.97</v>
      </c>
      <c r="D19" s="1" t="s">
        <v>36</v>
      </c>
      <c r="E19" s="1" t="s">
        <v>101</v>
      </c>
      <c r="F19" s="9">
        <v>0.5</v>
      </c>
      <c r="G19" s="3"/>
      <c r="H19" s="3"/>
    </row>
    <row r="20" spans="1:8" x14ac:dyDescent="0.2">
      <c r="A20" s="1" t="s">
        <v>37</v>
      </c>
      <c r="B20" s="1" t="s">
        <v>91</v>
      </c>
      <c r="C20" s="9">
        <v>1.1200000000000001</v>
      </c>
      <c r="D20" s="1" t="s">
        <v>37</v>
      </c>
      <c r="E20" s="1"/>
      <c r="F20" s="9"/>
      <c r="G20" s="3"/>
      <c r="H20" s="3"/>
    </row>
    <row r="21" spans="1:8" x14ac:dyDescent="0.2">
      <c r="A21" s="1" t="s">
        <v>38</v>
      </c>
      <c r="B21" s="1" t="s">
        <v>70</v>
      </c>
      <c r="C21" s="9">
        <v>0.2</v>
      </c>
      <c r="D21" s="1" t="s">
        <v>38</v>
      </c>
      <c r="E21" s="1" t="s">
        <v>97</v>
      </c>
      <c r="F21" s="9">
        <v>0.09</v>
      </c>
      <c r="G21" s="3"/>
      <c r="H21" s="3"/>
    </row>
    <row r="22" spans="1:8" x14ac:dyDescent="0.2">
      <c r="A22" s="1" t="s">
        <v>39</v>
      </c>
      <c r="B22" s="1"/>
      <c r="C22" s="9">
        <v>0.5</v>
      </c>
      <c r="D22" s="1" t="s">
        <v>40</v>
      </c>
      <c r="E22" s="1"/>
      <c r="F22" s="1"/>
      <c r="G22" s="3"/>
      <c r="H22" s="3"/>
    </row>
    <row r="23" spans="1:8" x14ac:dyDescent="0.2">
      <c r="A23" s="1" t="s">
        <v>41</v>
      </c>
      <c r="B23" s="1"/>
      <c r="C23" s="1"/>
      <c r="D23" s="1" t="s">
        <v>41</v>
      </c>
      <c r="E23" s="1"/>
      <c r="F23" s="1"/>
      <c r="G23" s="3"/>
      <c r="H23" s="3"/>
    </row>
    <row r="24" spans="1:8" x14ac:dyDescent="0.2">
      <c r="A24" s="2" t="s">
        <v>42</v>
      </c>
      <c r="B24" s="1"/>
      <c r="C24" s="10">
        <f>SUM(C12:C23)</f>
        <v>29.659999999999997</v>
      </c>
      <c r="D24" s="2" t="s">
        <v>42</v>
      </c>
      <c r="E24" s="1"/>
      <c r="F24" s="10">
        <f>SUM(F12:F23)</f>
        <v>6.28</v>
      </c>
      <c r="G24" s="3"/>
      <c r="H24" s="3"/>
    </row>
    <row r="25" spans="1:8" x14ac:dyDescent="0.2">
      <c r="A25" s="2" t="s">
        <v>43</v>
      </c>
      <c r="B25" s="1"/>
      <c r="C25" s="2" t="s">
        <v>26</v>
      </c>
      <c r="D25" s="2" t="s">
        <v>44</v>
      </c>
      <c r="E25" s="1"/>
      <c r="F25" s="2" t="s">
        <v>26</v>
      </c>
      <c r="G25" s="3"/>
      <c r="H25" s="3"/>
    </row>
    <row r="26" spans="1:8" x14ac:dyDescent="0.2">
      <c r="A26" s="1" t="s">
        <v>67</v>
      </c>
      <c r="B26" s="1" t="s">
        <v>98</v>
      </c>
      <c r="C26" s="9">
        <v>1.2</v>
      </c>
      <c r="D26" s="2" t="s">
        <v>67</v>
      </c>
      <c r="E26" s="1"/>
      <c r="F26" s="9"/>
      <c r="G26" s="3"/>
      <c r="H26" s="3"/>
    </row>
    <row r="27" spans="1:8" x14ac:dyDescent="0.2">
      <c r="A27" s="1" t="s">
        <v>58</v>
      </c>
      <c r="B27" s="1" t="s">
        <v>69</v>
      </c>
      <c r="C27" s="28">
        <v>0.14000000000000001</v>
      </c>
      <c r="D27" s="1" t="s">
        <v>29</v>
      </c>
      <c r="E27" s="1"/>
      <c r="F27" s="24"/>
      <c r="G27" s="3"/>
      <c r="H27" s="3"/>
    </row>
    <row r="28" spans="1:8" x14ac:dyDescent="0.2">
      <c r="A28" s="1" t="s">
        <v>30</v>
      </c>
      <c r="B28" s="1"/>
      <c r="C28" s="9">
        <v>0.05</v>
      </c>
      <c r="D28" s="1" t="s">
        <v>30</v>
      </c>
      <c r="E28" s="1"/>
      <c r="F28" s="9"/>
      <c r="G28" s="3"/>
      <c r="H28" s="3"/>
    </row>
    <row r="29" spans="1:8" x14ac:dyDescent="0.2">
      <c r="A29" s="1" t="s">
        <v>31</v>
      </c>
      <c r="B29" s="1" t="s">
        <v>99</v>
      </c>
      <c r="C29" s="9">
        <v>0.93</v>
      </c>
      <c r="D29" s="1" t="s">
        <v>31</v>
      </c>
      <c r="E29" s="1"/>
      <c r="F29" s="9"/>
      <c r="G29" s="3"/>
      <c r="H29" s="3"/>
    </row>
    <row r="30" spans="1:8" x14ac:dyDescent="0.2">
      <c r="A30" s="1" t="s">
        <v>33</v>
      </c>
      <c r="B30" s="1"/>
      <c r="C30" s="1">
        <v>0.04</v>
      </c>
      <c r="D30" s="1" t="s">
        <v>33</v>
      </c>
      <c r="E30" s="1"/>
      <c r="F30" s="1"/>
      <c r="G30" s="3"/>
      <c r="H30" s="3"/>
    </row>
    <row r="31" spans="1:8" x14ac:dyDescent="0.2">
      <c r="A31" s="1" t="s">
        <v>45</v>
      </c>
      <c r="B31" s="1" t="s">
        <v>100</v>
      </c>
      <c r="C31" s="9">
        <v>1.73</v>
      </c>
      <c r="D31" s="1" t="s">
        <v>45</v>
      </c>
      <c r="E31" s="1"/>
      <c r="F31" s="9"/>
      <c r="G31" s="3"/>
      <c r="H31" s="3"/>
    </row>
    <row r="32" spans="1:8" ht="25.5" x14ac:dyDescent="0.2">
      <c r="A32" s="11" t="s">
        <v>46</v>
      </c>
      <c r="B32" s="1"/>
      <c r="C32" s="9">
        <v>0.15</v>
      </c>
      <c r="D32" s="11" t="s">
        <v>46</v>
      </c>
      <c r="E32" s="1"/>
      <c r="F32" s="9"/>
      <c r="G32" s="3"/>
      <c r="H32" s="3"/>
    </row>
    <row r="33" spans="1:8" x14ac:dyDescent="0.2">
      <c r="A33" s="1" t="s">
        <v>41</v>
      </c>
      <c r="B33" s="1"/>
      <c r="C33" s="1"/>
      <c r="D33" s="1" t="s">
        <v>41</v>
      </c>
      <c r="E33" s="1"/>
      <c r="F33" s="1"/>
      <c r="G33" s="3"/>
      <c r="H33" s="3"/>
    </row>
    <row r="34" spans="1:8" x14ac:dyDescent="0.2">
      <c r="A34" s="2" t="s">
        <v>42</v>
      </c>
      <c r="B34" s="2"/>
      <c r="C34" s="10">
        <f>SUM(C26:C33)</f>
        <v>4.24</v>
      </c>
      <c r="D34" s="2" t="s">
        <v>42</v>
      </c>
      <c r="E34" s="1"/>
      <c r="F34" s="10">
        <f>SUM(F26:F33)</f>
        <v>0</v>
      </c>
      <c r="G34" s="3"/>
      <c r="H34" s="3"/>
    </row>
    <row r="35" spans="1:8" x14ac:dyDescent="0.2">
      <c r="A35" s="2"/>
      <c r="B35" s="2"/>
      <c r="C35" s="1"/>
      <c r="D35" s="2"/>
      <c r="E35" s="1"/>
      <c r="F35" s="1"/>
      <c r="G35" s="3"/>
      <c r="H35" s="3"/>
    </row>
    <row r="36" spans="1:8" x14ac:dyDescent="0.2">
      <c r="A36" s="2" t="s">
        <v>47</v>
      </c>
      <c r="B36" s="1">
        <v>5</v>
      </c>
      <c r="C36" s="10">
        <f>B36*0.7</f>
        <v>3.5</v>
      </c>
      <c r="D36" s="2"/>
      <c r="E36" s="1"/>
      <c r="F36" s="1"/>
      <c r="G36" s="3"/>
      <c r="H36" s="3"/>
    </row>
    <row r="37" spans="1:8" x14ac:dyDescent="0.2">
      <c r="A37" s="2" t="s">
        <v>65</v>
      </c>
      <c r="B37" s="12"/>
      <c r="C37" s="9"/>
      <c r="D37" s="2"/>
      <c r="E37" s="2" t="s">
        <v>48</v>
      </c>
      <c r="F37" s="1"/>
      <c r="G37" s="3"/>
      <c r="H37" s="3"/>
    </row>
    <row r="38" spans="1:8" x14ac:dyDescent="0.2">
      <c r="A38" s="12" t="s">
        <v>27</v>
      </c>
      <c r="B38" s="12"/>
      <c r="C38" s="9"/>
      <c r="D38" s="1" t="s">
        <v>47</v>
      </c>
      <c r="E38" s="9">
        <f>C36</f>
        <v>3.5</v>
      </c>
      <c r="F38" s="1"/>
      <c r="G38" s="3"/>
      <c r="H38" s="3"/>
    </row>
    <row r="39" spans="1:8" x14ac:dyDescent="0.2">
      <c r="A39" s="12" t="s">
        <v>43</v>
      </c>
      <c r="B39" s="12"/>
      <c r="C39" s="9"/>
      <c r="D39" s="1" t="s">
        <v>24</v>
      </c>
      <c r="E39" s="9">
        <f>C24</f>
        <v>29.659999999999997</v>
      </c>
      <c r="F39" s="1"/>
      <c r="G39" s="3"/>
      <c r="H39" s="3"/>
    </row>
    <row r="40" spans="1:8" x14ac:dyDescent="0.2">
      <c r="A40" s="12" t="s">
        <v>44</v>
      </c>
      <c r="B40" s="12"/>
      <c r="C40" s="9"/>
      <c r="D40" s="1" t="s">
        <v>27</v>
      </c>
      <c r="E40" s="9">
        <f>F24</f>
        <v>6.28</v>
      </c>
      <c r="F40" s="1"/>
      <c r="G40" s="3"/>
      <c r="H40" s="3"/>
    </row>
    <row r="41" spans="1:8" x14ac:dyDescent="0.2">
      <c r="A41" s="12" t="s">
        <v>42</v>
      </c>
      <c r="B41" s="1"/>
      <c r="C41" s="9"/>
      <c r="D41" s="1" t="s">
        <v>43</v>
      </c>
      <c r="E41" s="9">
        <f>C34</f>
        <v>4.24</v>
      </c>
      <c r="F41" s="1"/>
      <c r="G41" s="3"/>
      <c r="H41" s="3"/>
    </row>
    <row r="42" spans="1:8" x14ac:dyDescent="0.2">
      <c r="A42" s="13" t="s">
        <v>49</v>
      </c>
      <c r="B42" s="1"/>
      <c r="C42" s="10">
        <f>SUM(C41)*1.1</f>
        <v>0</v>
      </c>
      <c r="D42" s="1" t="s">
        <v>44</v>
      </c>
      <c r="E42" s="9">
        <f>F34</f>
        <v>0</v>
      </c>
      <c r="F42" s="1"/>
      <c r="G42" s="3"/>
      <c r="H42" s="3"/>
    </row>
    <row r="43" spans="1:8" x14ac:dyDescent="0.2">
      <c r="A43" s="14" t="s">
        <v>50</v>
      </c>
      <c r="B43" s="1"/>
      <c r="C43" s="1"/>
      <c r="D43" s="1" t="s">
        <v>60</v>
      </c>
      <c r="E43" s="24"/>
      <c r="F43" s="1"/>
      <c r="G43" s="3"/>
      <c r="H43" s="3"/>
    </row>
    <row r="44" spans="1:8" x14ac:dyDescent="0.2">
      <c r="A44" s="1" t="s">
        <v>51</v>
      </c>
      <c r="B44" s="1"/>
      <c r="C44" s="1"/>
      <c r="D44" s="1" t="s">
        <v>59</v>
      </c>
      <c r="E44" s="9">
        <f>SUM(E38:E43)</f>
        <v>43.68</v>
      </c>
      <c r="F44" s="1"/>
      <c r="G44" s="3"/>
      <c r="H44" s="3"/>
    </row>
    <row r="45" spans="1:8" x14ac:dyDescent="0.2">
      <c r="A45" s="1" t="s">
        <v>52</v>
      </c>
      <c r="B45" s="1"/>
      <c r="C45" s="1"/>
      <c r="D45" s="1" t="s">
        <v>102</v>
      </c>
      <c r="E45" s="9">
        <f>E44*1.6</f>
        <v>69.888000000000005</v>
      </c>
      <c r="F45" s="1"/>
      <c r="G45" s="3"/>
      <c r="H45" s="3"/>
    </row>
    <row r="46" spans="1:8" x14ac:dyDescent="0.2">
      <c r="A46" s="1" t="s">
        <v>53</v>
      </c>
      <c r="B46" s="1"/>
      <c r="C46" s="1"/>
      <c r="D46" s="1" t="s">
        <v>61</v>
      </c>
      <c r="E46" s="38">
        <v>2</v>
      </c>
      <c r="F46" s="1"/>
      <c r="G46" s="3"/>
      <c r="H46" s="3"/>
    </row>
    <row r="47" spans="1:8" x14ac:dyDescent="0.2">
      <c r="A47" s="1" t="s">
        <v>54</v>
      </c>
      <c r="B47" s="1"/>
      <c r="C47" s="1"/>
      <c r="D47" s="1" t="s">
        <v>62</v>
      </c>
      <c r="E47" s="39"/>
      <c r="F47" s="1"/>
      <c r="G47" s="3"/>
      <c r="H47" s="3"/>
    </row>
    <row r="48" spans="1:8" x14ac:dyDescent="0.2">
      <c r="A48" s="1" t="s">
        <v>55</v>
      </c>
      <c r="B48" s="1"/>
      <c r="C48" s="1"/>
      <c r="D48" s="15" t="s">
        <v>63</v>
      </c>
      <c r="E48" s="40"/>
      <c r="F48" s="1"/>
      <c r="G48" s="3"/>
      <c r="H48" s="3"/>
    </row>
    <row r="49" spans="1:8" x14ac:dyDescent="0.2">
      <c r="A49" s="1" t="s">
        <v>56</v>
      </c>
      <c r="B49" s="1"/>
      <c r="C49" s="1"/>
      <c r="D49" s="1" t="s">
        <v>40</v>
      </c>
      <c r="E49" s="24">
        <v>1</v>
      </c>
      <c r="F49" s="1"/>
      <c r="G49" s="3"/>
      <c r="H49" s="3"/>
    </row>
    <row r="50" spans="1:8" x14ac:dyDescent="0.2">
      <c r="A50" s="1"/>
      <c r="B50" s="1"/>
      <c r="C50" s="1"/>
      <c r="D50" s="4" t="s">
        <v>103</v>
      </c>
      <c r="E50" s="32">
        <v>0.5</v>
      </c>
      <c r="F50" s="1"/>
      <c r="G50" s="3"/>
      <c r="H50" s="3"/>
    </row>
    <row r="51" spans="1:8" x14ac:dyDescent="0.2">
      <c r="A51" s="1"/>
      <c r="B51" s="1"/>
      <c r="C51" s="1"/>
      <c r="D51" s="2" t="s">
        <v>64</v>
      </c>
      <c r="E51" s="31">
        <f>E45+E46+E49+E50</f>
        <v>73.388000000000005</v>
      </c>
      <c r="F51" s="1"/>
      <c r="G51" s="3"/>
      <c r="H51" s="3"/>
    </row>
    <row r="52" spans="1:8" x14ac:dyDescent="0.2">
      <c r="A52" s="1"/>
      <c r="B52" s="1"/>
      <c r="C52" s="1"/>
      <c r="D52" s="1"/>
      <c r="E52" s="1"/>
      <c r="F52" s="1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25"/>
      <c r="E54" s="20"/>
      <c r="F54" s="3"/>
      <c r="G54" s="3"/>
      <c r="H54" s="3"/>
    </row>
    <row r="55" spans="1:8" x14ac:dyDescent="0.2">
      <c r="A55" s="3"/>
      <c r="B55" s="3"/>
      <c r="C55" s="3"/>
      <c r="D55" s="25"/>
      <c r="E55" s="29"/>
      <c r="F55" s="3"/>
      <c r="G55" s="3"/>
      <c r="H55" s="3"/>
    </row>
    <row r="56" spans="1:8" x14ac:dyDescent="0.2">
      <c r="A56" s="3"/>
      <c r="B56" s="3"/>
      <c r="C56" s="3"/>
      <c r="D56" s="3"/>
      <c r="E56" s="21"/>
      <c r="F56" s="3"/>
      <c r="G56" s="3"/>
      <c r="H56" s="3"/>
    </row>
    <row r="57" spans="1:8" x14ac:dyDescent="0.2">
      <c r="A57" s="3"/>
      <c r="B57" s="3"/>
      <c r="C57" s="3"/>
      <c r="D57" s="3"/>
      <c r="E57" s="21"/>
      <c r="F57" s="3"/>
      <c r="G57" s="3"/>
      <c r="H57" s="3"/>
    </row>
    <row r="58" spans="1:8" x14ac:dyDescent="0.2">
      <c r="A58" s="3"/>
      <c r="B58" s="3"/>
      <c r="C58" s="3"/>
      <c r="D58" s="3"/>
      <c r="E58" s="21"/>
      <c r="F58" s="3"/>
      <c r="G58" s="3"/>
      <c r="H58" s="3"/>
    </row>
    <row r="59" spans="1:8" x14ac:dyDescent="0.2">
      <c r="A59" s="3"/>
      <c r="B59" s="3"/>
      <c r="C59" s="3"/>
      <c r="D59" s="3"/>
      <c r="E59" s="21"/>
      <c r="F59" s="3"/>
      <c r="G59" s="3"/>
      <c r="H59" s="3"/>
    </row>
    <row r="60" spans="1:8" x14ac:dyDescent="0.2">
      <c r="A60" s="3"/>
      <c r="B60" s="3"/>
      <c r="C60" s="3"/>
      <c r="D60" s="3"/>
      <c r="E60" s="30"/>
      <c r="F60" s="3"/>
      <c r="G60" s="3"/>
      <c r="H60" s="3"/>
    </row>
    <row r="61" spans="1:8" x14ac:dyDescent="0.2">
      <c r="A61" s="3"/>
      <c r="B61" s="3"/>
      <c r="C61" s="3"/>
      <c r="D61" s="25"/>
      <c r="E61" s="3"/>
      <c r="F61" s="3"/>
      <c r="G61" s="3"/>
      <c r="H61" s="3"/>
    </row>
    <row r="62" spans="1:8" x14ac:dyDescent="0.2">
      <c r="A62" s="3"/>
      <c r="B62" s="3"/>
      <c r="C62" s="3"/>
      <c r="D62" s="25"/>
      <c r="E62" s="18"/>
      <c r="F62" s="3"/>
      <c r="G62" s="3"/>
      <c r="H62" s="3"/>
    </row>
    <row r="63" spans="1:8" ht="40.9" customHeight="1" x14ac:dyDescent="0.2">
      <c r="A63" s="3"/>
      <c r="B63" s="3"/>
      <c r="C63" s="3"/>
      <c r="D63" s="26"/>
      <c r="E63" s="18"/>
      <c r="F63" s="3"/>
      <c r="G63" s="3"/>
      <c r="H63" s="3"/>
    </row>
    <row r="64" spans="1:8" x14ac:dyDescent="0.2">
      <c r="A64" s="3"/>
      <c r="B64" s="3"/>
      <c r="C64" s="3"/>
      <c r="D64" s="3"/>
      <c r="E64" s="3"/>
      <c r="F64" s="3"/>
      <c r="G64" s="3"/>
      <c r="H64" s="16"/>
    </row>
    <row r="65" spans="1:8" x14ac:dyDescent="0.2">
      <c r="A65" s="3"/>
      <c r="B65" s="3"/>
      <c r="C65" s="3"/>
      <c r="D65" s="3"/>
      <c r="E65" s="3"/>
      <c r="F65" s="17"/>
      <c r="G65" s="17"/>
      <c r="H65" s="16"/>
    </row>
    <row r="66" spans="1:8" x14ac:dyDescent="0.2">
      <c r="A66" s="3"/>
      <c r="B66" s="3"/>
      <c r="C66" s="3"/>
      <c r="D66" s="3"/>
      <c r="E66" s="3"/>
      <c r="F66" s="3"/>
      <c r="G66" s="3"/>
      <c r="H66" s="3"/>
    </row>
    <row r="67" spans="1:8" x14ac:dyDescent="0.2">
      <c r="A67" s="3"/>
      <c r="B67" s="17"/>
      <c r="C67" s="3"/>
      <c r="D67" s="18"/>
      <c r="E67" s="3"/>
      <c r="F67" s="3"/>
      <c r="G67" s="3"/>
      <c r="H67" s="3"/>
    </row>
    <row r="68" spans="1:8" x14ac:dyDescent="0.2">
      <c r="A68" s="3"/>
      <c r="B68" s="3"/>
      <c r="C68" s="3"/>
      <c r="D68" s="3"/>
      <c r="E68" s="3"/>
      <c r="F68" s="3"/>
      <c r="G68" s="3"/>
      <c r="H68" s="3"/>
    </row>
    <row r="69" spans="1:8" x14ac:dyDescent="0.2">
      <c r="A69" s="3"/>
      <c r="B69" s="3"/>
      <c r="C69" s="19"/>
      <c r="D69" s="18"/>
      <c r="E69" s="3"/>
      <c r="F69" s="3"/>
      <c r="G69" s="3"/>
      <c r="H69" s="3"/>
    </row>
    <row r="70" spans="1:8" x14ac:dyDescent="0.2">
      <c r="A70" s="3"/>
      <c r="B70" s="3"/>
      <c r="C70" s="3"/>
      <c r="D70" s="3"/>
      <c r="E70" s="3"/>
      <c r="F70" s="3"/>
      <c r="G70" s="3"/>
      <c r="H70" s="3"/>
    </row>
    <row r="71" spans="1:8" x14ac:dyDescent="0.2">
      <c r="A71" s="3"/>
      <c r="B71" s="3"/>
      <c r="C71" s="3"/>
      <c r="D71" s="3"/>
      <c r="E71" s="3"/>
      <c r="F71" s="3"/>
      <c r="G71" s="3"/>
      <c r="H71" s="3"/>
    </row>
    <row r="72" spans="1:8" x14ac:dyDescent="0.2">
      <c r="A72" s="3"/>
      <c r="B72" s="3"/>
      <c r="C72" s="3"/>
      <c r="D72" s="3"/>
      <c r="E72" s="3"/>
      <c r="F72" s="17"/>
      <c r="G72" s="17"/>
      <c r="H72" s="3"/>
    </row>
    <row r="73" spans="1:8" x14ac:dyDescent="0.2">
      <c r="A73" s="3"/>
      <c r="B73" s="3"/>
      <c r="C73" s="3"/>
      <c r="D73" s="3"/>
      <c r="E73" s="3"/>
      <c r="F73" s="3"/>
      <c r="G73" s="3"/>
      <c r="H73" s="3"/>
    </row>
    <row r="74" spans="1:8" x14ac:dyDescent="0.2">
      <c r="A74" s="3"/>
      <c r="B74" s="20"/>
      <c r="C74" s="21"/>
      <c r="D74" s="20"/>
      <c r="E74" s="21"/>
      <c r="F74" s="3"/>
      <c r="G74" s="3"/>
      <c r="H74" s="3"/>
    </row>
    <row r="75" spans="1:8" x14ac:dyDescent="0.2">
      <c r="A75" s="3"/>
      <c r="B75" s="3"/>
      <c r="C75" s="3"/>
      <c r="D75" s="22"/>
      <c r="E75" s="3"/>
      <c r="F75" s="3"/>
      <c r="G75" s="3"/>
      <c r="H75" s="3"/>
    </row>
    <row r="76" spans="1:8" x14ac:dyDescent="0.2">
      <c r="A76" s="3"/>
      <c r="B76" s="3"/>
      <c r="C76" s="19"/>
      <c r="D76" s="23"/>
      <c r="E76" s="3"/>
      <c r="F76" s="3"/>
      <c r="G76" s="3"/>
      <c r="H76" s="3"/>
    </row>
    <row r="77" spans="1:8" x14ac:dyDescent="0.2">
      <c r="G77" s="3"/>
      <c r="H77" s="3"/>
    </row>
  </sheetData>
  <mergeCells count="3">
    <mergeCell ref="B10:C10"/>
    <mergeCell ref="E10:F10"/>
    <mergeCell ref="E46:E48"/>
  </mergeCells>
  <phoneticPr fontId="19" type="noConversion"/>
  <pageMargins left="0.31496062992125984" right="0.11811023622047245" top="0.31496062992125984" bottom="0.31496062992125984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NSK-2401-01-04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2025-04-14T08:45:56Z</cp:lastPrinted>
  <dcterms:created xsi:type="dcterms:W3CDTF">2015-07-02T09:29:04Z</dcterms:created>
  <dcterms:modified xsi:type="dcterms:W3CDTF">2026-07-01T08:53:43Z</dcterms:modified>
</cp:coreProperties>
</file>